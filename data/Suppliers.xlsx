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Sheet1!$A$1:$O$35</definedName>
  </definedNames>
  <calcPr/>
</workbook>
</file>

<file path=xl/sharedStrings.xml><?xml version="1.0" encoding="utf-8"?>
<sst xmlns="http://schemas.openxmlformats.org/spreadsheetml/2006/main" count="207" uniqueCount="96">
  <si>
    <t>#</t>
  </si>
  <si>
    <t>Supplier</t>
  </si>
  <si>
    <t>Country</t>
  </si>
  <si>
    <t>Score_location</t>
  </si>
  <si>
    <t>Industry</t>
  </si>
  <si>
    <t>EcoVadis</t>
  </si>
  <si>
    <t>Labor Audit Score</t>
  </si>
  <si>
    <t>Certification Status</t>
  </si>
  <si>
    <t>ISO 14001</t>
  </si>
  <si>
    <t>ISO 45001</t>
  </si>
  <si>
    <t>SA8000</t>
  </si>
  <si>
    <t>Incident History</t>
  </si>
  <si>
    <t>RIsk assessement results</t>
  </si>
  <si>
    <t>Risk segment</t>
  </si>
  <si>
    <t>Schneider Electric</t>
  </si>
  <si>
    <t>France</t>
  </si>
  <si>
    <t>Energy management</t>
  </si>
  <si>
    <t>ISO 14001, SA8000</t>
  </si>
  <si>
    <t>low</t>
  </si>
  <si>
    <t>Siemens</t>
  </si>
  <si>
    <t>Germany</t>
  </si>
  <si>
    <t>Industrial tech</t>
  </si>
  <si>
    <t>ISO 14001, ISO 45001</t>
  </si>
  <si>
    <t>Bosch</t>
  </si>
  <si>
    <t>Hitachi</t>
  </si>
  <si>
    <t>Japan</t>
  </si>
  <si>
    <t>STMicroelectronics</t>
  </si>
  <si>
    <t>Semiconductors</t>
  </si>
  <si>
    <t>Murata Manufacturing</t>
  </si>
  <si>
    <t>Electronic components</t>
  </si>
  <si>
    <t>Intel</t>
  </si>
  <si>
    <t>USA</t>
  </si>
  <si>
    <t>HP Inc</t>
  </si>
  <si>
    <t>Electronics</t>
  </si>
  <si>
    <t>Dell Technologies</t>
  </si>
  <si>
    <t>Sony</t>
  </si>
  <si>
    <t>Micron Technology</t>
  </si>
  <si>
    <t>Sumitomo Electric</t>
  </si>
  <si>
    <t>Components</t>
  </si>
  <si>
    <t>Panasonic</t>
  </si>
  <si>
    <t>medium</t>
  </si>
  <si>
    <t>Samsung Electronics</t>
  </si>
  <si>
    <t>South Korea</t>
  </si>
  <si>
    <t>Toshiba</t>
  </si>
  <si>
    <t>Jabil Inc</t>
  </si>
  <si>
    <t>Electronics manufacturing</t>
  </si>
  <si>
    <t>LG Electronics</t>
  </si>
  <si>
    <t>SK Hynix</t>
  </si>
  <si>
    <t>TSMC</t>
  </si>
  <si>
    <t>Taiwan</t>
  </si>
  <si>
    <t>Flex Ltd</t>
  </si>
  <si>
    <t>Singapore</t>
  </si>
  <si>
    <t>Lenovo</t>
  </si>
  <si>
    <t>China</t>
  </si>
  <si>
    <t>Tata Electronics</t>
  </si>
  <si>
    <t>India</t>
  </si>
  <si>
    <t>Apple Supplier (Tier 1 Assembly)</t>
  </si>
  <si>
    <t>Electronics assembly</t>
  </si>
  <si>
    <t>Partial</t>
  </si>
  <si>
    <t>BYD Electronics</t>
  </si>
  <si>
    <t>Quanta Computer</t>
  </si>
  <si>
    <t>high</t>
  </si>
  <si>
    <t>Wistron</t>
  </si>
  <si>
    <t>Luxshare Precision</t>
  </si>
  <si>
    <t>Foxconn</t>
  </si>
  <si>
    <t>Inventec</t>
  </si>
  <si>
    <t>Goertek</t>
  </si>
  <si>
    <t>Electronics components</t>
  </si>
  <si>
    <t>None</t>
  </si>
  <si>
    <t>Compal Electronics</t>
  </si>
  <si>
    <t>AAC Technologies</t>
  </si>
  <si>
    <t>Acoustic components</t>
  </si>
  <si>
    <t>Flextronics China Plant</t>
  </si>
  <si>
    <t>Pegatron</t>
  </si>
  <si>
    <t>0-20</t>
  </si>
  <si>
    <t>min human rights and ecological support</t>
  </si>
  <si>
    <t>21-40</t>
  </si>
  <si>
    <t>low human rights and ecological support</t>
  </si>
  <si>
    <t>41-60</t>
  </si>
  <si>
    <t>medium human rights and ecological support</t>
  </si>
  <si>
    <t>61-80</t>
  </si>
  <si>
    <t>acceptable human rights and ecological support</t>
  </si>
  <si>
    <t>81-100</t>
  </si>
  <si>
    <t>high human rights and ecological support</t>
  </si>
  <si>
    <t xml:space="preserve">Risk asses </t>
  </si>
  <si>
    <t>location</t>
  </si>
  <si>
    <t>industry</t>
  </si>
  <si>
    <t>Ecovadis</t>
  </si>
  <si>
    <t>cert</t>
  </si>
  <si>
    <t>inc</t>
  </si>
  <si>
    <t>First conceptual dashboard: “Supplier Risk Heatmap”</t>
  </si>
  <si>
    <t>Top -5</t>
  </si>
  <si>
    <t>risky</t>
  </si>
  <si>
    <t>Top - 5</t>
  </si>
  <si>
    <t>Risk level</t>
  </si>
  <si>
    <t>Radar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</si>
</sst>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273540"/>
      <name val="&quot;Lato Extended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5" max="5" width="32.0"/>
    <col customWidth="1" min="8" max="8" width="23.25"/>
    <col customWidth="1" min="9" max="9" width="23.13"/>
    <col customWidth="1" min="10" max="13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</row>
    <row r="2">
      <c r="A2" s="2">
        <v>21.0</v>
      </c>
      <c r="B2" s="2" t="s">
        <v>14</v>
      </c>
      <c r="C2" s="2" t="s">
        <v>15</v>
      </c>
      <c r="D2" s="2">
        <v>80.0</v>
      </c>
      <c r="E2" s="2" t="s">
        <v>16</v>
      </c>
      <c r="F2" s="2">
        <v>50.0</v>
      </c>
      <c r="G2" s="2">
        <v>92.0</v>
      </c>
      <c r="H2" s="2">
        <v>97.0</v>
      </c>
      <c r="I2" s="2" t="s">
        <v>17</v>
      </c>
      <c r="J2" s="2">
        <v>100.0</v>
      </c>
      <c r="K2" s="2"/>
      <c r="L2" s="2">
        <v>100.0</v>
      </c>
      <c r="M2" s="2">
        <v>0.0</v>
      </c>
      <c r="N2" s="3">
        <f t="shared" ref="N2:N35" si="1">D2+F2+G2+H2+0.1*(J2+K2+L2)-5*M2</f>
        <v>339</v>
      </c>
      <c r="O2" s="2" t="s">
        <v>18</v>
      </c>
    </row>
    <row r="3">
      <c r="A3" s="2">
        <v>20.0</v>
      </c>
      <c r="B3" s="2" t="s">
        <v>19</v>
      </c>
      <c r="C3" s="2" t="s">
        <v>20</v>
      </c>
      <c r="D3" s="2">
        <v>80.0</v>
      </c>
      <c r="E3" s="2" t="s">
        <v>21</v>
      </c>
      <c r="F3" s="2">
        <v>50.0</v>
      </c>
      <c r="G3" s="2">
        <v>90.0</v>
      </c>
      <c r="H3" s="2">
        <v>96.0</v>
      </c>
      <c r="I3" s="2" t="s">
        <v>22</v>
      </c>
      <c r="J3" s="2">
        <v>100.0</v>
      </c>
      <c r="K3" s="2">
        <v>100.0</v>
      </c>
      <c r="L3" s="2"/>
      <c r="M3" s="2">
        <v>0.0</v>
      </c>
      <c r="N3" s="3">
        <f t="shared" si="1"/>
        <v>336</v>
      </c>
      <c r="O3" s="2" t="s">
        <v>18</v>
      </c>
    </row>
    <row r="4">
      <c r="A4" s="2">
        <v>19.0</v>
      </c>
      <c r="B4" s="2" t="s">
        <v>23</v>
      </c>
      <c r="C4" s="2" t="s">
        <v>20</v>
      </c>
      <c r="D4" s="2">
        <v>80.0</v>
      </c>
      <c r="E4" s="2" t="s">
        <v>21</v>
      </c>
      <c r="F4" s="2">
        <v>50.0</v>
      </c>
      <c r="G4" s="2">
        <v>88.0</v>
      </c>
      <c r="H4" s="2">
        <v>95.0</v>
      </c>
      <c r="I4" s="2" t="s">
        <v>22</v>
      </c>
      <c r="J4" s="2">
        <v>100.0</v>
      </c>
      <c r="K4" s="2">
        <v>100.0</v>
      </c>
      <c r="L4" s="2"/>
      <c r="M4" s="2">
        <v>0.0</v>
      </c>
      <c r="N4" s="3">
        <f t="shared" si="1"/>
        <v>333</v>
      </c>
      <c r="O4" s="2" t="s">
        <v>18</v>
      </c>
    </row>
    <row r="5">
      <c r="A5" s="2">
        <v>24.0</v>
      </c>
      <c r="B5" s="2" t="s">
        <v>24</v>
      </c>
      <c r="C5" s="2" t="s">
        <v>25</v>
      </c>
      <c r="D5" s="2">
        <v>80.0</v>
      </c>
      <c r="E5" s="2" t="s">
        <v>21</v>
      </c>
      <c r="F5" s="2">
        <v>50.0</v>
      </c>
      <c r="G5" s="2">
        <v>87.0</v>
      </c>
      <c r="H5" s="2">
        <v>94.0</v>
      </c>
      <c r="I5" s="2" t="s">
        <v>22</v>
      </c>
      <c r="J5" s="2">
        <v>100.0</v>
      </c>
      <c r="K5" s="2">
        <v>100.0</v>
      </c>
      <c r="L5" s="2"/>
      <c r="M5" s="2">
        <v>0.0</v>
      </c>
      <c r="N5" s="3">
        <f t="shared" si="1"/>
        <v>331</v>
      </c>
      <c r="O5" s="2" t="s">
        <v>18</v>
      </c>
    </row>
    <row r="6">
      <c r="A6" s="2">
        <v>18.0</v>
      </c>
      <c r="B6" s="2" t="s">
        <v>26</v>
      </c>
      <c r="C6" s="2" t="s">
        <v>15</v>
      </c>
      <c r="D6" s="2">
        <v>80.0</v>
      </c>
      <c r="E6" s="2" t="s">
        <v>27</v>
      </c>
      <c r="F6" s="2">
        <v>50.0</v>
      </c>
      <c r="G6" s="2">
        <v>86.0</v>
      </c>
      <c r="H6" s="2">
        <v>93.0</v>
      </c>
      <c r="I6" s="2" t="s">
        <v>22</v>
      </c>
      <c r="J6" s="2">
        <v>100.0</v>
      </c>
      <c r="K6" s="2">
        <v>100.0</v>
      </c>
      <c r="L6" s="2"/>
      <c r="M6" s="2">
        <v>0.0</v>
      </c>
      <c r="N6" s="3">
        <f t="shared" si="1"/>
        <v>329</v>
      </c>
      <c r="O6" s="2" t="s">
        <v>18</v>
      </c>
    </row>
    <row r="7">
      <c r="A7" s="2">
        <v>31.0</v>
      </c>
      <c r="B7" s="2" t="s">
        <v>28</v>
      </c>
      <c r="C7" s="2" t="s">
        <v>25</v>
      </c>
      <c r="D7" s="2">
        <v>80.0</v>
      </c>
      <c r="E7" s="2" t="s">
        <v>29</v>
      </c>
      <c r="F7" s="2">
        <v>50.0</v>
      </c>
      <c r="G7" s="2">
        <v>85.0</v>
      </c>
      <c r="H7" s="2">
        <v>93.0</v>
      </c>
      <c r="I7" s="2" t="s">
        <v>22</v>
      </c>
      <c r="J7" s="2">
        <v>100.0</v>
      </c>
      <c r="K7" s="2">
        <v>100.0</v>
      </c>
      <c r="L7" s="2"/>
      <c r="M7" s="2">
        <v>0.0</v>
      </c>
      <c r="N7" s="3">
        <f t="shared" si="1"/>
        <v>328</v>
      </c>
      <c r="O7" s="2" t="s">
        <v>18</v>
      </c>
    </row>
    <row r="8">
      <c r="A8" s="2">
        <v>15.0</v>
      </c>
      <c r="B8" s="2" t="s">
        <v>30</v>
      </c>
      <c r="C8" s="2" t="s">
        <v>31</v>
      </c>
      <c r="D8" s="2">
        <v>80.0</v>
      </c>
      <c r="E8" s="2" t="s">
        <v>27</v>
      </c>
      <c r="F8" s="2">
        <v>50.0</v>
      </c>
      <c r="G8" s="2">
        <v>84.0</v>
      </c>
      <c r="H8" s="2">
        <v>92.0</v>
      </c>
      <c r="I8" s="2" t="s">
        <v>22</v>
      </c>
      <c r="J8" s="2">
        <v>100.0</v>
      </c>
      <c r="K8" s="2">
        <v>100.0</v>
      </c>
      <c r="L8" s="2"/>
      <c r="M8" s="2">
        <v>0.0</v>
      </c>
      <c r="N8" s="3">
        <f t="shared" si="1"/>
        <v>326</v>
      </c>
      <c r="O8" s="2" t="s">
        <v>18</v>
      </c>
    </row>
    <row r="9">
      <c r="A9" s="2">
        <v>11.0</v>
      </c>
      <c r="B9" s="2" t="s">
        <v>32</v>
      </c>
      <c r="C9" s="2" t="s">
        <v>31</v>
      </c>
      <c r="D9" s="2">
        <v>80.0</v>
      </c>
      <c r="E9" s="2" t="s">
        <v>33</v>
      </c>
      <c r="F9" s="2">
        <v>50.0</v>
      </c>
      <c r="G9" s="2">
        <v>83.0</v>
      </c>
      <c r="H9" s="2">
        <v>91.0</v>
      </c>
      <c r="I9" s="2" t="s">
        <v>17</v>
      </c>
      <c r="J9" s="2">
        <v>100.0</v>
      </c>
      <c r="K9" s="2"/>
      <c r="L9" s="2">
        <v>100.0</v>
      </c>
      <c r="M9" s="2">
        <v>0.0</v>
      </c>
      <c r="N9" s="3">
        <f t="shared" si="1"/>
        <v>324</v>
      </c>
      <c r="O9" s="2" t="s">
        <v>18</v>
      </c>
    </row>
    <row r="10">
      <c r="A10" s="2">
        <v>10.0</v>
      </c>
      <c r="B10" s="2" t="s">
        <v>34</v>
      </c>
      <c r="C10" s="2" t="s">
        <v>31</v>
      </c>
      <c r="D10" s="2">
        <v>80.0</v>
      </c>
      <c r="E10" s="2" t="s">
        <v>33</v>
      </c>
      <c r="F10" s="2">
        <v>50.0</v>
      </c>
      <c r="G10" s="2">
        <v>81.0</v>
      </c>
      <c r="H10" s="2">
        <v>90.0</v>
      </c>
      <c r="I10" s="2" t="s">
        <v>17</v>
      </c>
      <c r="J10" s="2">
        <v>100.0</v>
      </c>
      <c r="K10" s="2"/>
      <c r="L10" s="2">
        <v>100.0</v>
      </c>
      <c r="M10" s="2">
        <v>0.0</v>
      </c>
      <c r="N10" s="3">
        <f t="shared" si="1"/>
        <v>321</v>
      </c>
      <c r="O10" s="2" t="s">
        <v>18</v>
      </c>
    </row>
    <row r="11">
      <c r="A11" s="2">
        <v>23.0</v>
      </c>
      <c r="B11" s="2" t="s">
        <v>35</v>
      </c>
      <c r="C11" s="2" t="s">
        <v>25</v>
      </c>
      <c r="D11" s="2">
        <v>80.0</v>
      </c>
      <c r="E11" s="2" t="s">
        <v>33</v>
      </c>
      <c r="F11" s="2">
        <v>50.0</v>
      </c>
      <c r="G11" s="2">
        <v>80.0</v>
      </c>
      <c r="H11" s="2">
        <v>89.0</v>
      </c>
      <c r="I11" s="2" t="s">
        <v>8</v>
      </c>
      <c r="J11" s="2">
        <v>100.0</v>
      </c>
      <c r="K11" s="2"/>
      <c r="L11" s="2"/>
      <c r="M11" s="2">
        <v>0.0</v>
      </c>
      <c r="N11" s="3">
        <f t="shared" si="1"/>
        <v>309</v>
      </c>
      <c r="O11" s="2" t="s">
        <v>18</v>
      </c>
    </row>
    <row r="12">
      <c r="A12" s="2">
        <v>17.0</v>
      </c>
      <c r="B12" s="2" t="s">
        <v>36</v>
      </c>
      <c r="C12" s="2" t="s">
        <v>31</v>
      </c>
      <c r="D12" s="2">
        <v>80.0</v>
      </c>
      <c r="E12" s="2" t="s">
        <v>27</v>
      </c>
      <c r="F12" s="2">
        <v>50.0</v>
      </c>
      <c r="G12" s="2">
        <v>79.0</v>
      </c>
      <c r="H12" s="2">
        <v>88.0</v>
      </c>
      <c r="I12" s="2" t="s">
        <v>8</v>
      </c>
      <c r="J12" s="2">
        <v>100.0</v>
      </c>
      <c r="K12" s="2"/>
      <c r="L12" s="2"/>
      <c r="M12" s="2">
        <v>0.0</v>
      </c>
      <c r="N12" s="3">
        <f t="shared" si="1"/>
        <v>307</v>
      </c>
      <c r="O12" s="2" t="s">
        <v>18</v>
      </c>
    </row>
    <row r="13">
      <c r="A13" s="2">
        <v>26.0</v>
      </c>
      <c r="B13" s="2" t="s">
        <v>37</v>
      </c>
      <c r="C13" s="2" t="s">
        <v>25</v>
      </c>
      <c r="D13" s="2">
        <v>80.0</v>
      </c>
      <c r="E13" s="2" t="s">
        <v>38</v>
      </c>
      <c r="F13" s="2">
        <v>50.0</v>
      </c>
      <c r="G13" s="2">
        <v>78.0</v>
      </c>
      <c r="H13" s="2">
        <v>88.0</v>
      </c>
      <c r="I13" s="2" t="s">
        <v>8</v>
      </c>
      <c r="J13" s="2">
        <v>100.0</v>
      </c>
      <c r="K13" s="2"/>
      <c r="L13" s="2"/>
      <c r="M13" s="2">
        <v>1.0</v>
      </c>
      <c r="N13" s="3">
        <f t="shared" si="1"/>
        <v>301</v>
      </c>
      <c r="O13" s="2" t="s">
        <v>18</v>
      </c>
    </row>
    <row r="14">
      <c r="A14" s="2">
        <v>22.0</v>
      </c>
      <c r="B14" s="2" t="s">
        <v>39</v>
      </c>
      <c r="C14" s="2" t="s">
        <v>25</v>
      </c>
      <c r="D14" s="2">
        <v>80.0</v>
      </c>
      <c r="E14" s="2" t="s">
        <v>33</v>
      </c>
      <c r="F14" s="2">
        <v>50.0</v>
      </c>
      <c r="G14" s="2">
        <v>75.0</v>
      </c>
      <c r="H14" s="2">
        <v>86.0</v>
      </c>
      <c r="I14" s="2" t="s">
        <v>8</v>
      </c>
      <c r="J14" s="2">
        <v>100.0</v>
      </c>
      <c r="K14" s="2"/>
      <c r="L14" s="2"/>
      <c r="M14" s="2">
        <v>1.0</v>
      </c>
      <c r="N14" s="3">
        <f t="shared" si="1"/>
        <v>296</v>
      </c>
      <c r="O14" s="2" t="s">
        <v>40</v>
      </c>
    </row>
    <row r="15">
      <c r="A15" s="2">
        <v>2.0</v>
      </c>
      <c r="B15" s="2" t="s">
        <v>41</v>
      </c>
      <c r="C15" s="2" t="s">
        <v>42</v>
      </c>
      <c r="D15" s="2">
        <v>60.0</v>
      </c>
      <c r="E15" s="2" t="s">
        <v>33</v>
      </c>
      <c r="F15" s="2">
        <v>50.0</v>
      </c>
      <c r="G15" s="2">
        <v>78.0</v>
      </c>
      <c r="H15" s="2">
        <v>88.0</v>
      </c>
      <c r="I15" s="2" t="s">
        <v>22</v>
      </c>
      <c r="J15" s="2">
        <v>100.0</v>
      </c>
      <c r="K15" s="2">
        <v>100.0</v>
      </c>
      <c r="L15" s="2"/>
      <c r="M15" s="2">
        <v>0.0</v>
      </c>
      <c r="N15" s="3">
        <f t="shared" si="1"/>
        <v>296</v>
      </c>
      <c r="O15" s="2" t="s">
        <v>40</v>
      </c>
    </row>
    <row r="16">
      <c r="A16" s="2">
        <v>25.0</v>
      </c>
      <c r="B16" s="2" t="s">
        <v>43</v>
      </c>
      <c r="C16" s="2" t="s">
        <v>25</v>
      </c>
      <c r="D16" s="2">
        <v>80.0</v>
      </c>
      <c r="E16" s="2" t="s">
        <v>33</v>
      </c>
      <c r="F16" s="2">
        <v>50.0</v>
      </c>
      <c r="G16" s="2">
        <v>69.0</v>
      </c>
      <c r="H16" s="2">
        <v>82.0</v>
      </c>
      <c r="I16" s="2" t="s">
        <v>8</v>
      </c>
      <c r="J16" s="2">
        <v>100.0</v>
      </c>
      <c r="K16" s="2"/>
      <c r="L16" s="2"/>
      <c r="M16" s="2">
        <v>2.0</v>
      </c>
      <c r="N16" s="3">
        <f t="shared" si="1"/>
        <v>281</v>
      </c>
      <c r="O16" s="2" t="s">
        <v>40</v>
      </c>
    </row>
    <row r="17">
      <c r="A17" s="2">
        <v>9.0</v>
      </c>
      <c r="B17" s="2" t="s">
        <v>44</v>
      </c>
      <c r="C17" s="2" t="s">
        <v>31</v>
      </c>
      <c r="D17" s="2">
        <v>80.0</v>
      </c>
      <c r="E17" s="2" t="s">
        <v>45</v>
      </c>
      <c r="F17" s="2">
        <v>50.0</v>
      </c>
      <c r="G17" s="2">
        <v>68.0</v>
      </c>
      <c r="H17" s="2">
        <v>75.0</v>
      </c>
      <c r="I17" s="2" t="s">
        <v>8</v>
      </c>
      <c r="J17" s="2">
        <v>100.0</v>
      </c>
      <c r="K17" s="2"/>
      <c r="L17" s="2"/>
      <c r="M17" s="2">
        <v>1.0</v>
      </c>
      <c r="N17" s="3">
        <f t="shared" si="1"/>
        <v>278</v>
      </c>
      <c r="O17" s="2" t="s">
        <v>40</v>
      </c>
    </row>
    <row r="18">
      <c r="A18" s="2">
        <v>3.0</v>
      </c>
      <c r="B18" s="2" t="s">
        <v>46</v>
      </c>
      <c r="C18" s="2" t="s">
        <v>42</v>
      </c>
      <c r="D18" s="2">
        <v>60.0</v>
      </c>
      <c r="E18" s="2" t="s">
        <v>33</v>
      </c>
      <c r="F18" s="2">
        <v>50.0</v>
      </c>
      <c r="G18" s="2">
        <v>74.0</v>
      </c>
      <c r="H18" s="2">
        <v>85.0</v>
      </c>
      <c r="I18" s="2" t="s">
        <v>8</v>
      </c>
      <c r="J18" s="2">
        <v>100.0</v>
      </c>
      <c r="K18" s="2"/>
      <c r="L18" s="2"/>
      <c r="M18" s="2">
        <v>1.0</v>
      </c>
      <c r="N18" s="3">
        <f t="shared" si="1"/>
        <v>274</v>
      </c>
      <c r="O18" s="2" t="s">
        <v>40</v>
      </c>
    </row>
    <row r="19">
      <c r="A19" s="2">
        <v>16.0</v>
      </c>
      <c r="B19" s="2" t="s">
        <v>47</v>
      </c>
      <c r="C19" s="2" t="s">
        <v>42</v>
      </c>
      <c r="D19" s="2">
        <v>60.0</v>
      </c>
      <c r="E19" s="2" t="s">
        <v>27</v>
      </c>
      <c r="F19" s="2">
        <v>50.0</v>
      </c>
      <c r="G19" s="2">
        <v>73.0</v>
      </c>
      <c r="H19" s="2">
        <v>84.0</v>
      </c>
      <c r="I19" s="2" t="s">
        <v>8</v>
      </c>
      <c r="J19" s="2">
        <v>100.0</v>
      </c>
      <c r="K19" s="2"/>
      <c r="L19" s="2"/>
      <c r="M19" s="2">
        <v>1.0</v>
      </c>
      <c r="N19" s="3">
        <f t="shared" si="1"/>
        <v>272</v>
      </c>
      <c r="O19" s="2" t="s">
        <v>40</v>
      </c>
    </row>
    <row r="20">
      <c r="A20" s="2">
        <v>14.0</v>
      </c>
      <c r="B20" s="2" t="s">
        <v>48</v>
      </c>
      <c r="C20" s="2" t="s">
        <v>49</v>
      </c>
      <c r="D20" s="2">
        <v>40.0</v>
      </c>
      <c r="E20" s="2" t="s">
        <v>27</v>
      </c>
      <c r="F20" s="2">
        <v>50.0</v>
      </c>
      <c r="G20" s="2">
        <v>77.0</v>
      </c>
      <c r="H20" s="2">
        <v>87.0</v>
      </c>
      <c r="I20" s="2" t="s">
        <v>8</v>
      </c>
      <c r="J20" s="2">
        <v>100.0</v>
      </c>
      <c r="K20" s="2"/>
      <c r="L20" s="2"/>
      <c r="M20" s="2">
        <v>0.0</v>
      </c>
      <c r="N20" s="3">
        <f t="shared" si="1"/>
        <v>264</v>
      </c>
      <c r="O20" s="2" t="s">
        <v>40</v>
      </c>
    </row>
    <row r="21">
      <c r="A21" s="2">
        <v>8.0</v>
      </c>
      <c r="B21" s="2" t="s">
        <v>50</v>
      </c>
      <c r="C21" s="2" t="s">
        <v>51</v>
      </c>
      <c r="D21" s="2">
        <v>60.0</v>
      </c>
      <c r="E21" s="2" t="s">
        <v>45</v>
      </c>
      <c r="F21" s="2">
        <v>50.0</v>
      </c>
      <c r="G21" s="2">
        <v>63.0</v>
      </c>
      <c r="H21" s="2">
        <v>72.0</v>
      </c>
      <c r="I21" s="2" t="s">
        <v>22</v>
      </c>
      <c r="J21" s="2">
        <v>100.0</v>
      </c>
      <c r="K21" s="2">
        <v>100.0</v>
      </c>
      <c r="L21" s="2"/>
      <c r="M21" s="2">
        <v>1.0</v>
      </c>
      <c r="N21" s="3">
        <f t="shared" si="1"/>
        <v>260</v>
      </c>
      <c r="O21" s="2" t="s">
        <v>40</v>
      </c>
    </row>
    <row r="22">
      <c r="A22" s="2">
        <v>12.0</v>
      </c>
      <c r="B22" s="2" t="s">
        <v>52</v>
      </c>
      <c r="C22" s="2" t="s">
        <v>53</v>
      </c>
      <c r="D22" s="2">
        <v>20.0</v>
      </c>
      <c r="E22" s="2" t="s">
        <v>33</v>
      </c>
      <c r="F22" s="2">
        <v>50.0</v>
      </c>
      <c r="G22" s="2">
        <v>71.0</v>
      </c>
      <c r="H22" s="2">
        <v>80.0</v>
      </c>
      <c r="I22" s="2" t="s">
        <v>8</v>
      </c>
      <c r="J22" s="2">
        <v>100.0</v>
      </c>
      <c r="K22" s="2"/>
      <c r="L22" s="2"/>
      <c r="M22" s="2">
        <v>1.0</v>
      </c>
      <c r="N22" s="3">
        <f t="shared" si="1"/>
        <v>226</v>
      </c>
      <c r="O22" s="2" t="s">
        <v>40</v>
      </c>
    </row>
    <row r="23">
      <c r="A23" s="2">
        <v>33.0</v>
      </c>
      <c r="B23" s="2" t="s">
        <v>54</v>
      </c>
      <c r="C23" s="2" t="s">
        <v>55</v>
      </c>
      <c r="D23" s="2">
        <v>20.0</v>
      </c>
      <c r="E23" s="2" t="s">
        <v>45</v>
      </c>
      <c r="F23" s="2">
        <v>50.0</v>
      </c>
      <c r="G23" s="2">
        <v>62.0</v>
      </c>
      <c r="H23" s="2">
        <v>74.0</v>
      </c>
      <c r="I23" s="2" t="s">
        <v>8</v>
      </c>
      <c r="J23" s="2">
        <v>100.0</v>
      </c>
      <c r="K23" s="2"/>
      <c r="L23" s="2"/>
      <c r="M23" s="2">
        <v>1.0</v>
      </c>
      <c r="N23" s="3">
        <f t="shared" si="1"/>
        <v>211</v>
      </c>
      <c r="O23" s="2" t="s">
        <v>40</v>
      </c>
    </row>
    <row r="24">
      <c r="A24" s="2">
        <v>13.0</v>
      </c>
      <c r="B24" s="2" t="s">
        <v>56</v>
      </c>
      <c r="C24" s="2" t="s">
        <v>53</v>
      </c>
      <c r="D24" s="2">
        <v>20.0</v>
      </c>
      <c r="E24" s="2" t="s">
        <v>57</v>
      </c>
      <c r="F24" s="2">
        <v>50.0</v>
      </c>
      <c r="G24" s="2">
        <v>65.0</v>
      </c>
      <c r="H24" s="2">
        <v>78.0</v>
      </c>
      <c r="I24" s="2" t="s">
        <v>58</v>
      </c>
      <c r="J24" s="2"/>
      <c r="K24" s="2"/>
      <c r="L24" s="2"/>
      <c r="M24" s="2">
        <v>2.0</v>
      </c>
      <c r="N24" s="3">
        <f t="shared" si="1"/>
        <v>203</v>
      </c>
      <c r="O24" s="2" t="s">
        <v>40</v>
      </c>
    </row>
    <row r="25">
      <c r="A25" s="2">
        <v>27.0</v>
      </c>
      <c r="B25" s="2" t="s">
        <v>59</v>
      </c>
      <c r="C25" s="2" t="s">
        <v>53</v>
      </c>
      <c r="D25" s="2">
        <v>20.0</v>
      </c>
      <c r="E25" s="2" t="s">
        <v>33</v>
      </c>
      <c r="F25" s="2">
        <v>50.0</v>
      </c>
      <c r="G25" s="2">
        <v>66.0</v>
      </c>
      <c r="H25" s="2">
        <v>77.0</v>
      </c>
      <c r="I25" s="2" t="s">
        <v>58</v>
      </c>
      <c r="J25" s="2"/>
      <c r="K25" s="2"/>
      <c r="L25" s="2"/>
      <c r="M25" s="2">
        <v>2.0</v>
      </c>
      <c r="N25" s="3">
        <f t="shared" si="1"/>
        <v>203</v>
      </c>
      <c r="O25" s="2" t="s">
        <v>40</v>
      </c>
    </row>
    <row r="26">
      <c r="A26" s="2">
        <v>6.0</v>
      </c>
      <c r="B26" s="2" t="s">
        <v>60</v>
      </c>
      <c r="C26" s="2" t="s">
        <v>49</v>
      </c>
      <c r="D26" s="2">
        <v>40.0</v>
      </c>
      <c r="E26" s="2" t="s">
        <v>33</v>
      </c>
      <c r="F26" s="2">
        <v>50.0</v>
      </c>
      <c r="G26" s="2">
        <v>46.0</v>
      </c>
      <c r="H26" s="2">
        <v>60.0</v>
      </c>
      <c r="I26" s="2" t="s">
        <v>8</v>
      </c>
      <c r="J26" s="2">
        <v>100.0</v>
      </c>
      <c r="K26" s="2"/>
      <c r="L26" s="2"/>
      <c r="M26" s="2">
        <v>2.0</v>
      </c>
      <c r="N26" s="3">
        <f t="shared" si="1"/>
        <v>196</v>
      </c>
      <c r="O26" s="2" t="s">
        <v>61</v>
      </c>
    </row>
    <row r="27">
      <c r="A27" s="2">
        <v>5.0</v>
      </c>
      <c r="B27" s="2" t="s">
        <v>62</v>
      </c>
      <c r="C27" s="2" t="s">
        <v>49</v>
      </c>
      <c r="D27" s="2">
        <v>40.0</v>
      </c>
      <c r="E27" s="2" t="s">
        <v>45</v>
      </c>
      <c r="F27" s="2">
        <v>50.0</v>
      </c>
      <c r="G27" s="2">
        <v>44.0</v>
      </c>
      <c r="H27" s="2">
        <v>58.0</v>
      </c>
      <c r="I27" s="2" t="s">
        <v>9</v>
      </c>
      <c r="J27" s="2"/>
      <c r="K27" s="2">
        <v>100.0</v>
      </c>
      <c r="L27" s="2"/>
      <c r="M27" s="2">
        <v>2.0</v>
      </c>
      <c r="N27" s="3">
        <f t="shared" si="1"/>
        <v>192</v>
      </c>
      <c r="O27" s="2" t="s">
        <v>61</v>
      </c>
    </row>
    <row r="28">
      <c r="A28" s="2">
        <v>29.0</v>
      </c>
      <c r="B28" s="2" t="s">
        <v>63</v>
      </c>
      <c r="C28" s="2" t="s">
        <v>53</v>
      </c>
      <c r="D28" s="2">
        <v>20.0</v>
      </c>
      <c r="E28" s="2" t="s">
        <v>33</v>
      </c>
      <c r="F28" s="2">
        <v>50.0</v>
      </c>
      <c r="G28" s="2">
        <v>55.0</v>
      </c>
      <c r="H28" s="2">
        <v>68.0</v>
      </c>
      <c r="I28" s="2" t="s">
        <v>58</v>
      </c>
      <c r="J28" s="2"/>
      <c r="K28" s="2"/>
      <c r="L28" s="2"/>
      <c r="M28" s="2">
        <v>2.0</v>
      </c>
      <c r="N28" s="3">
        <f t="shared" si="1"/>
        <v>183</v>
      </c>
      <c r="O28" s="2" t="s">
        <v>61</v>
      </c>
    </row>
    <row r="29">
      <c r="A29" s="2">
        <v>1.0</v>
      </c>
      <c r="B29" s="2" t="s">
        <v>64</v>
      </c>
      <c r="C29" s="2" t="s">
        <v>49</v>
      </c>
      <c r="D29" s="2">
        <v>40.0</v>
      </c>
      <c r="E29" s="2" t="s">
        <v>45</v>
      </c>
      <c r="F29" s="2">
        <v>50.0</v>
      </c>
      <c r="G29" s="2">
        <v>42.0</v>
      </c>
      <c r="H29" s="2">
        <v>55.0</v>
      </c>
      <c r="I29" s="2" t="s">
        <v>9</v>
      </c>
      <c r="J29" s="2"/>
      <c r="K29" s="2">
        <v>100.0</v>
      </c>
      <c r="L29" s="2"/>
      <c r="M29" s="2">
        <v>3.0</v>
      </c>
      <c r="N29" s="3">
        <f t="shared" si="1"/>
        <v>182</v>
      </c>
      <c r="O29" s="2" t="s">
        <v>61</v>
      </c>
    </row>
    <row r="30">
      <c r="A30" s="2">
        <v>34.0</v>
      </c>
      <c r="B30" s="2" t="s">
        <v>65</v>
      </c>
      <c r="C30" s="2" t="s">
        <v>49</v>
      </c>
      <c r="D30" s="2">
        <v>40.0</v>
      </c>
      <c r="E30" s="2" t="s">
        <v>33</v>
      </c>
      <c r="F30" s="2">
        <v>50.0</v>
      </c>
      <c r="G30" s="2">
        <v>45.0</v>
      </c>
      <c r="H30" s="2">
        <v>57.0</v>
      </c>
      <c r="J30" s="2"/>
      <c r="K30" s="2"/>
      <c r="L30" s="2"/>
      <c r="M30" s="2">
        <v>3.0</v>
      </c>
      <c r="N30" s="3">
        <f t="shared" si="1"/>
        <v>177</v>
      </c>
      <c r="O30" s="2" t="s">
        <v>61</v>
      </c>
    </row>
    <row r="31">
      <c r="A31" s="2">
        <v>28.0</v>
      </c>
      <c r="B31" s="2" t="s">
        <v>66</v>
      </c>
      <c r="C31" s="2" t="s">
        <v>53</v>
      </c>
      <c r="D31" s="2">
        <v>20.0</v>
      </c>
      <c r="E31" s="2" t="s">
        <v>67</v>
      </c>
      <c r="F31" s="2">
        <v>50.0</v>
      </c>
      <c r="G31" s="2">
        <v>52.0</v>
      </c>
      <c r="H31" s="2">
        <v>65.0</v>
      </c>
      <c r="I31" s="2" t="s">
        <v>68</v>
      </c>
      <c r="J31" s="2"/>
      <c r="K31" s="2"/>
      <c r="L31" s="2"/>
      <c r="M31" s="2">
        <v>3.0</v>
      </c>
      <c r="N31" s="3">
        <f t="shared" si="1"/>
        <v>172</v>
      </c>
      <c r="O31" s="2" t="s">
        <v>61</v>
      </c>
    </row>
    <row r="32">
      <c r="A32" s="2">
        <v>7.0</v>
      </c>
      <c r="B32" s="2" t="s">
        <v>69</v>
      </c>
      <c r="C32" s="2" t="s">
        <v>49</v>
      </c>
      <c r="D32" s="2">
        <v>40.0</v>
      </c>
      <c r="E32" s="2" t="s">
        <v>33</v>
      </c>
      <c r="F32" s="2">
        <v>50.0</v>
      </c>
      <c r="G32" s="2">
        <v>41.0</v>
      </c>
      <c r="H32" s="2">
        <v>54.0</v>
      </c>
      <c r="I32" s="2" t="s">
        <v>68</v>
      </c>
      <c r="J32" s="2"/>
      <c r="K32" s="2"/>
      <c r="L32" s="2"/>
      <c r="M32" s="2">
        <v>3.0</v>
      </c>
      <c r="N32" s="3">
        <f t="shared" si="1"/>
        <v>170</v>
      </c>
      <c r="O32" s="2" t="s">
        <v>61</v>
      </c>
    </row>
    <row r="33">
      <c r="A33" s="2">
        <v>30.0</v>
      </c>
      <c r="B33" s="2" t="s">
        <v>70</v>
      </c>
      <c r="C33" s="2" t="s">
        <v>53</v>
      </c>
      <c r="D33" s="2">
        <v>20.0</v>
      </c>
      <c r="E33" s="2" t="s">
        <v>71</v>
      </c>
      <c r="F33" s="2">
        <v>25.0</v>
      </c>
      <c r="G33" s="2">
        <v>58.0</v>
      </c>
      <c r="H33" s="2">
        <v>70.0</v>
      </c>
      <c r="I33" s="2" t="s">
        <v>68</v>
      </c>
      <c r="J33" s="2"/>
      <c r="K33" s="2"/>
      <c r="L33" s="2"/>
      <c r="M33" s="2">
        <v>2.0</v>
      </c>
      <c r="N33" s="3">
        <f t="shared" si="1"/>
        <v>163</v>
      </c>
      <c r="O33" s="2" t="s">
        <v>61</v>
      </c>
    </row>
    <row r="34">
      <c r="A34" s="2">
        <v>32.0</v>
      </c>
      <c r="B34" s="2" t="s">
        <v>72</v>
      </c>
      <c r="C34" s="2" t="s">
        <v>53</v>
      </c>
      <c r="D34" s="2">
        <v>20.0</v>
      </c>
      <c r="E34" s="2" t="s">
        <v>45</v>
      </c>
      <c r="F34" s="2">
        <v>50.0</v>
      </c>
      <c r="G34" s="2">
        <v>47.0</v>
      </c>
      <c r="H34" s="2">
        <v>60.0</v>
      </c>
      <c r="I34" s="2" t="s">
        <v>58</v>
      </c>
      <c r="J34" s="2"/>
      <c r="K34" s="2"/>
      <c r="L34" s="2"/>
      <c r="M34" s="2">
        <v>3.0</v>
      </c>
      <c r="N34" s="3">
        <f t="shared" si="1"/>
        <v>162</v>
      </c>
      <c r="O34" s="2" t="s">
        <v>61</v>
      </c>
    </row>
    <row r="35">
      <c r="A35" s="2">
        <v>4.0</v>
      </c>
      <c r="B35" s="2" t="s">
        <v>73</v>
      </c>
      <c r="C35" s="2" t="s">
        <v>49</v>
      </c>
      <c r="D35" s="2">
        <v>40.0</v>
      </c>
      <c r="E35" s="2" t="s">
        <v>45</v>
      </c>
      <c r="F35" s="2">
        <v>50.0</v>
      </c>
      <c r="G35" s="2">
        <v>39.0</v>
      </c>
      <c r="H35" s="2">
        <v>50.0</v>
      </c>
      <c r="I35" s="2" t="s">
        <v>58</v>
      </c>
      <c r="J35" s="2"/>
      <c r="K35" s="2"/>
      <c r="L35" s="2"/>
      <c r="M35" s="2">
        <v>4.0</v>
      </c>
      <c r="N35" s="3">
        <f t="shared" si="1"/>
        <v>159</v>
      </c>
      <c r="O35" s="2" t="s">
        <v>61</v>
      </c>
    </row>
  </sheetData>
  <autoFilter ref="$A$1:$O$3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</v>
      </c>
      <c r="B1" s="2" t="s">
        <v>75</v>
      </c>
    </row>
    <row r="2">
      <c r="A2" s="2" t="s">
        <v>76</v>
      </c>
      <c r="B2" s="2" t="s">
        <v>77</v>
      </c>
    </row>
    <row r="3">
      <c r="A3" s="2" t="s">
        <v>78</v>
      </c>
      <c r="B3" s="2" t="s">
        <v>79</v>
      </c>
    </row>
    <row r="4">
      <c r="A4" s="2" t="s">
        <v>80</v>
      </c>
      <c r="B4" s="2" t="s">
        <v>81</v>
      </c>
    </row>
    <row r="5">
      <c r="A5" s="2" t="s">
        <v>82</v>
      </c>
      <c r="B5" s="2" t="s">
        <v>83</v>
      </c>
    </row>
    <row r="8">
      <c r="B8" s="2" t="s">
        <v>84</v>
      </c>
    </row>
    <row r="9">
      <c r="C9" s="2" t="s">
        <v>85</v>
      </c>
    </row>
    <row r="10">
      <c r="C10" s="2" t="s">
        <v>86</v>
      </c>
    </row>
    <row r="11">
      <c r="C11" s="2" t="s">
        <v>87</v>
      </c>
    </row>
    <row r="12">
      <c r="C12" s="2" t="s">
        <v>88</v>
      </c>
      <c r="D12" s="2">
        <v>0.1</v>
      </c>
    </row>
    <row r="13">
      <c r="C13" s="2" t="s">
        <v>89</v>
      </c>
      <c r="D13" s="2">
        <v>-5.0</v>
      </c>
    </row>
    <row r="18">
      <c r="A18" s="4" t="s">
        <v>90</v>
      </c>
    </row>
    <row r="20">
      <c r="A20" s="2" t="s">
        <v>91</v>
      </c>
      <c r="B20" s="2" t="s">
        <v>92</v>
      </c>
    </row>
    <row r="21">
      <c r="A21" s="2" t="s">
        <v>93</v>
      </c>
      <c r="B21" s="2" t="s">
        <v>89</v>
      </c>
    </row>
    <row r="22">
      <c r="A22" s="2" t="s">
        <v>94</v>
      </c>
    </row>
    <row r="23">
      <c r="A23" s="2" t="s">
        <v>95</v>
      </c>
    </row>
  </sheetData>
  <drawing r:id="rId1"/>
</worksheet>
</file>